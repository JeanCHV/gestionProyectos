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royecto" sheetId="1" state="visible" r:id="rId1"/>
    <sheet name="Activos" sheetId="2" state="visible" r:id="rId2"/>
    <sheet name="Riesgos" sheetId="3" state="visible" r:id="rId3"/>
    <sheet name="Matriz de riesgo" sheetId="4" state="visible" r:id="rId4"/>
    <sheet name="Mitigacion" sheetId="5" state="visible" r:id="rId5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yyyy\-mm\-dd"/>
  </numFmts>
  <fonts count="5">
    <font>
      <name val="Carlito"/>
      <sz val="11"/>
    </font>
    <font>
      <name val="Inter"/>
      <sz val="11"/>
    </font>
    <font>
      <name val="Inter"/>
      <b val="1"/>
      <color rgb="FFFFFFFF"/>
      <sz val="14"/>
    </font>
    <font>
      <name val="Inter"/>
      <b val="1"/>
      <color rgb="FFFFFFFF"/>
      <sz val="11"/>
    </font>
    <font>
      <name val="Carlito"/>
      <sz val="8"/>
    </font>
  </fonts>
  <fills count="4">
    <fill>
      <patternFill/>
    </fill>
    <fill>
      <patternFill patternType="gray125"/>
    </fill>
    <fill>
      <patternFill patternType="solid">
        <fgColor rgb="FF0F172A"/>
      </patternFill>
    </fill>
    <fill>
      <patternFill patternType="solid">
        <fgColor rgb="FF1D4ED8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3" fontId="1" fillId="0" borderId="1" applyAlignment="1" pivotButton="0" quotePrefix="0" xfId="0">
      <alignment vertical="center"/>
    </xf>
    <xf numFmtId="2" fontId="1" fillId="0" borderId="1" applyAlignment="1" pivotButton="0" quotePrefix="0" xfId="0">
      <alignment vertical="center"/>
    </xf>
    <xf numFmtId="164" fontId="1" fillId="0" borderId="1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 wrapText="1"/>
    </xf>
    <xf numFmtId="14" fontId="1" fillId="0" borderId="1" applyAlignment="1" pivotButton="0" quotePrefix="0" xfId="0">
      <alignment horizontal="center" vertical="center"/>
    </xf>
  </cellXfs>
  <cellStyles count="1">
    <cellStyle name="Normal" xfId="0" builtinId="0"/>
  </cellStyles>
  <dxfs count="5">
    <dxf>
      <alignment horizontal="center" vertical="center"/>
      <border outline="0">
        <left style="thin">
          <color rgb="FFD9E2F3"/>
        </left>
      </border>
    </dxf>
    <dxf>
      <font>
        <name val="Inter"/>
        <strike val="0"/>
        <outline val="0"/>
        <shadow val="0"/>
        <condense val="0"/>
        <color auto="1"/>
        <extend val="0"/>
        <sz val="11"/>
        <vertAlign val="baseline"/>
      </font>
      <alignment horizontal="center" vertical="center"/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border outline="0">
        <right style="thin">
          <color rgb="FFD9E2F3"/>
        </right>
      </border>
    </dxf>
    <dxf>
      <alignment horizontal="general" vertical="center" wrapText="1"/>
      <border outline="0">
        <left style="thin">
          <color rgb="FFD9E2F3"/>
        </left>
      </border>
    </dxf>
    <dxf>
      <border outline="0">
        <left style="thin">
          <color rgb="FFD9E2F3"/>
        </left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ctivosTable6" displayName="ActivosTable6" ref="A2:E3" headerRowCount="1" totalsRowShown="0">
  <tableColumns count="5">
    <tableColumn id="2" name="Nombre del proyecto" dataDxfId="3"/>
    <tableColumn id="3" name="Tipo" dataDxfId="4"/>
    <tableColumn id="4" name="Empresa" dataDxfId="2"/>
    <tableColumn id="7" name="Fecha Inicio" dataDxfId="1"/>
    <tableColumn id="6" name="Fecha Fin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ctivosTable" displayName="ActivosTable" ref="A2:E6" headerRowCount="1" totalsRowShown="0">
  <tableColumns count="5">
    <tableColumn id="2" name="Nombre del activo"/>
    <tableColumn id="3" name="Tipo"/>
    <tableColumn id="4" name="Responsable"/>
    <tableColumn id="5" name="Valor del activo"/>
    <tableColumn id="6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iesgosTable" displayName="RiesgosTable" ref="A2:L6" headerRowCount="1" totalsRowShown="0">
  <tableColumns count="12">
    <tableColumn id="2" name="Riesgo"/>
    <tableColumn id="3" name="Activo"/>
    <tableColumn id="4" name="Descripcion"/>
    <tableColumn id="5" name="Causa"/>
    <tableColumn id="6" name="Consecuencia"/>
    <tableColumn id="7" name="Probabilidad"/>
    <tableColumn id="8" name="Impacto"/>
    <tableColumn id="9" name="Nivel">
      <calculatedColumnFormula>IF(AND(F3&lt;&gt;"",G3&lt;&gt;""),IF(F3*G3&lt;15,"Bajo",IF(F3*G3&lt;40,"Medio",IF(F3*G3&lt;70,"Alto","Critico"))),"")</calculatedColumnFormula>
    </tableColumn>
    <tableColumn id="10" name="Horizonte"/>
    <tableColumn id="11" name="Responsable"/>
    <tableColumn id="12" name="Estado"/>
    <tableColumn id="13" name="Estrategi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atrizTable" displayName="MatrizTable" ref="A2:E6" headerRowCount="1" totalsRowShown="0">
  <tableColumns count="5">
    <tableColumn id="2" name="Riesgo"/>
    <tableColumn id="3" name="Activo"/>
    <tableColumn id="4" name="Probabilidad"/>
    <tableColumn id="5" name="Impacto"/>
    <tableColumn id="6" name="Nive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itigacionTable" displayName="MitigacionTable" ref="A2:J6" headerRowCount="1" totalsRowShown="0">
  <tableColumns count="10">
    <tableColumn id="2" name="Riesgo"/>
    <tableColumn id="3" name="Accion preventiva"/>
    <tableColumn id="4" name="Accion correctiva"/>
    <tableColumn id="5" name="Responsable"/>
    <tableColumn id="6" name="Inicio"/>
    <tableColumn id="7" name="Fin"/>
    <tableColumn id="8" name="Recursos"/>
    <tableColumn id="9" name="Estado"/>
    <tableColumn id="10" name="Evidencia"/>
    <tableColumn id="11" name="Estrateg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tabSelected="1" zoomScale="130" zoomScaleNormal="130" workbookViewId="0">
      <selection activeCell="G9" sqref="G9"/>
    </sheetView>
  </sheetViews>
  <sheetFormatPr baseColWidth="10" defaultRowHeight="14.25"/>
  <cols>
    <col width="44.375" bestFit="1" customWidth="1" min="1" max="1"/>
    <col width="13.875" bestFit="1" customWidth="1" min="2" max="2"/>
    <col width="30" bestFit="1" customWidth="1" min="3" max="3"/>
    <col width="11.625" bestFit="1" customWidth="1" min="4" max="4"/>
    <col width="13" customWidth="1" min="6" max="6"/>
  </cols>
  <sheetData>
    <row r="1" ht="18" customHeight="1">
      <c r="A1" s="7" t="inlineStr">
        <is>
          <t>DATOS DE PROYECTO</t>
        </is>
      </c>
      <c r="F1" t="inlineStr">
        <is>
          <t>DATOS DE PROYECTO</t>
        </is>
      </c>
    </row>
    <row r="2" ht="15" customHeight="1">
      <c r="A2" s="2" t="inlineStr">
        <is>
          <t>Nombre del proyecto</t>
        </is>
      </c>
      <c r="B2" s="2" t="inlineStr">
        <is>
          <t>Tipo</t>
        </is>
      </c>
      <c r="C2" s="2" t="inlineStr">
        <is>
          <t>Empresa</t>
        </is>
      </c>
      <c r="D2" s="2" t="inlineStr">
        <is>
          <t>Fecha Inicio</t>
        </is>
      </c>
      <c r="E2" s="2" t="inlineStr">
        <is>
          <t>Fecha Fin</t>
        </is>
      </c>
      <c r="F2" t="inlineStr">
        <is>
          <t>Estado</t>
        </is>
      </c>
    </row>
    <row r="3">
      <c r="A3" s="8" t="inlineStr">
        <is>
          <t>Desarrollo de Aplicación Móvil para Servicios de Taxi</t>
        </is>
      </c>
      <c r="B3" s="3" t="inlineStr">
        <is>
          <t>Desarrollo Móvil</t>
        </is>
      </c>
      <c r="C3" s="3" t="inlineStr">
        <is>
          <t>Asociación de Taxistas de Chiclayo</t>
        </is>
      </c>
      <c r="D3" s="9" t="n">
        <v>46174</v>
      </c>
      <c r="E3" s="9" t="n">
        <v>46203</v>
      </c>
      <c r="F3" t="inlineStr">
        <is>
          <t>Activo</t>
        </is>
      </c>
    </row>
  </sheetData>
  <mergeCells count="1"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"/>
  <sheetViews>
    <sheetView showGridLines="0" workbookViewId="0">
      <selection activeCell="D21" sqref="D21"/>
    </sheetView>
  </sheetViews>
  <sheetFormatPr baseColWidth="10" defaultColWidth="9" defaultRowHeight="14.25"/>
  <cols>
    <col width="20" bestFit="1" customWidth="1" min="1" max="1"/>
    <col width="10.75" bestFit="1" customWidth="1" min="2" max="2"/>
    <col width="12.625" bestFit="1" customWidth="1" min="3" max="3"/>
    <col width="14.5" bestFit="1" customWidth="1" min="4" max="4"/>
    <col width="7" bestFit="1" customWidth="1" min="5" max="5"/>
  </cols>
  <sheetData>
    <row r="1" ht="24" customHeight="1">
      <c r="A1" s="7" t="inlineStr">
        <is>
          <t>Plantilla de importacion - Activos</t>
        </is>
      </c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" customHeight="1">
      <c r="A2" s="2" t="inlineStr">
        <is>
          <t>Nombre del activo</t>
        </is>
      </c>
      <c r="B2" s="2" t="inlineStr">
        <is>
          <t>Tipo</t>
        </is>
      </c>
      <c r="C2" s="2" t="inlineStr">
        <is>
          <t>Responsable</t>
        </is>
      </c>
      <c r="D2" s="2" t="inlineStr">
        <is>
          <t>Valor del activo</t>
        </is>
      </c>
      <c r="E2" s="2" t="inlineStr">
        <is>
          <t>Estado</t>
        </is>
      </c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" customHeight="1">
      <c r="A3" s="3" t="inlineStr">
        <is>
          <t>Servidor de produccion</t>
        </is>
      </c>
      <c r="B3" s="3" t="inlineStr">
        <is>
          <t>Tecnologico</t>
        </is>
      </c>
      <c r="C3" s="3" t="inlineStr">
        <is>
          <t>Infraestructura</t>
        </is>
      </c>
      <c r="D3" s="4" t="n">
        <v>45000</v>
      </c>
      <c r="E3" s="3" t="inlineStr">
        <is>
          <t>Activo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" customHeight="1">
      <c r="A4" s="3" t="inlineStr">
        <is>
          <t>Base de datos principal</t>
        </is>
      </c>
      <c r="B4" s="3" t="inlineStr">
        <is>
          <t>Tecnologico</t>
        </is>
      </c>
      <c r="C4" s="3" t="inlineStr">
        <is>
          <t>Data Team</t>
        </is>
      </c>
      <c r="D4" s="4" t="n">
        <v>70000</v>
      </c>
      <c r="E4" s="3" t="inlineStr">
        <is>
          <t>Activo</t>
        </is>
      </c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" customHeight="1">
      <c r="A5" s="3" t="inlineStr">
        <is>
          <t>Flota operativa</t>
        </is>
      </c>
      <c r="B5" s="3" t="inlineStr">
        <is>
          <t>Operativo</t>
        </is>
      </c>
      <c r="C5" s="3" t="inlineStr">
        <is>
          <t>Operaciones</t>
        </is>
      </c>
      <c r="D5" s="4" t="n">
        <v>25000</v>
      </c>
      <c r="E5" s="3" t="inlineStr">
        <is>
          <t>Activo</t>
        </is>
      </c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>
      <c r="A6" s="3" t="inlineStr">
        <is>
          <t>Modulos de Pagos</t>
        </is>
      </c>
      <c r="B6" s="3" t="inlineStr">
        <is>
          <t>Tecnologico</t>
        </is>
      </c>
      <c r="C6" s="3" t="inlineStr">
        <is>
          <t>Integraciones</t>
        </is>
      </c>
      <c r="D6" s="4" t="n">
        <v>8000</v>
      </c>
      <c r="E6" s="3" t="inlineStr">
        <is>
          <t>Activo</t>
        </is>
      </c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</sheetData>
  <mergeCells count="1"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00"/>
  <sheetViews>
    <sheetView showGridLines="0" workbookViewId="0">
      <selection activeCell="D13" sqref="D13"/>
    </sheetView>
  </sheetViews>
  <sheetFormatPr baseColWidth="10" defaultColWidth="9" defaultRowHeight="14.25"/>
  <cols>
    <col width="18.625" bestFit="1" customWidth="1" min="1" max="1"/>
    <col width="23.125" customWidth="1" min="2" max="2"/>
    <col width="19.875" customWidth="1" min="3" max="3"/>
    <col width="17.375" bestFit="1" customWidth="1" min="4" max="4"/>
    <col width="19.75" bestFit="1" customWidth="1" min="5" max="5"/>
    <col width="12.75" customWidth="1" min="6" max="6"/>
    <col width="9.25" customWidth="1" min="7" max="7"/>
    <col width="7" customWidth="1" min="8" max="8"/>
    <col width="11.5" customWidth="1" min="9" max="9"/>
    <col width="12.625" customWidth="1" min="10" max="10"/>
    <col width="11.625" customWidth="1" min="11" max="11"/>
    <col width="10.625" customWidth="1" min="12" max="12"/>
  </cols>
  <sheetData>
    <row r="1" ht="18" customHeight="1">
      <c r="A1" s="7" t="inlineStr">
        <is>
          <t>Plantilla de importacion - Riesgos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" customHeight="1">
      <c r="A2" s="2" t="inlineStr">
        <is>
          <t>Riesgo</t>
        </is>
      </c>
      <c r="B2" s="2" t="inlineStr">
        <is>
          <t>Activo</t>
        </is>
      </c>
      <c r="C2" s="2" t="inlineStr">
        <is>
          <t>Descripcion</t>
        </is>
      </c>
      <c r="D2" s="2" t="inlineStr">
        <is>
          <t>Causa</t>
        </is>
      </c>
      <c r="E2" s="2" t="inlineStr">
        <is>
          <t>Consecuencia</t>
        </is>
      </c>
      <c r="F2" s="2" t="inlineStr">
        <is>
          <t>Probabilidad</t>
        </is>
      </c>
      <c r="G2" s="2" t="inlineStr">
        <is>
          <t>Impacto</t>
        </is>
      </c>
      <c r="H2" s="2" t="inlineStr">
        <is>
          <t>Nivel</t>
        </is>
      </c>
      <c r="I2" s="2" t="inlineStr">
        <is>
          <t>Horizonte</t>
        </is>
      </c>
      <c r="J2" s="2" t="inlineStr">
        <is>
          <t>Responsable</t>
        </is>
      </c>
      <c r="K2" s="2" t="inlineStr">
        <is>
          <t>Estado</t>
        </is>
      </c>
      <c r="L2" s="2" t="inlineStr">
        <is>
          <t>Estrategia</t>
        </is>
      </c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" customHeight="1">
      <c r="A3" s="3" t="inlineStr">
        <is>
          <t>Caida por sobrecarga</t>
        </is>
      </c>
      <c r="B3" s="3" t="inlineStr">
        <is>
          <t>Servidor de produccion</t>
        </is>
      </c>
      <c r="C3" s="3" t="inlineStr">
        <is>
          <t>Picos de demanda</t>
        </is>
      </c>
      <c r="D3" s="3" t="inlineStr">
        <is>
          <t>Uso intensivo</t>
        </is>
      </c>
      <c r="E3" s="3" t="inlineStr">
        <is>
          <t>Indisponibilidad</t>
        </is>
      </c>
      <c r="F3" s="5" t="n">
        <v>0.7</v>
      </c>
      <c r="G3" s="4" t="n">
        <v>40</v>
      </c>
      <c r="H3" s="3">
        <f>IF(AND(F3&lt;&gt;"",G3&lt;&gt;""),IF(F3*G3&lt;15,"Bajo",IF(F3*G3&lt;40,"Medio",IF(F3*G3&lt;70,"Alto","Critico"))),"")</f>
        <v/>
      </c>
      <c r="I3" s="3" t="inlineStr">
        <is>
          <t>Corto plazo</t>
        </is>
      </c>
      <c r="J3" s="3" t="inlineStr">
        <is>
          <t>Infraestructura</t>
        </is>
      </c>
      <c r="K3" s="3" t="inlineStr">
        <is>
          <t>Identificado</t>
        </is>
      </c>
      <c r="L3" s="3" t="inlineStr">
        <is>
          <t>Mitigar</t>
        </is>
      </c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" customHeight="1">
      <c r="A4" s="3" t="inlineStr">
        <is>
          <t>Corrupcion de datos</t>
        </is>
      </c>
      <c r="B4" s="3" t="inlineStr">
        <is>
          <t>Base de datos principal</t>
        </is>
      </c>
      <c r="C4" s="3" t="inlineStr">
        <is>
          <t>Error en registros</t>
        </is>
      </c>
      <c r="D4" s="3" t="inlineStr">
        <is>
          <t>Falla de transaccion</t>
        </is>
      </c>
      <c r="E4" s="3" t="inlineStr">
        <is>
          <t>Perdida de informacion</t>
        </is>
      </c>
      <c r="F4" s="5" t="n">
        <v>0.35</v>
      </c>
      <c r="G4" s="4" t="n">
        <v>80</v>
      </c>
      <c r="H4" s="3">
        <f>IF(AND(F4&lt;&gt;"",G4&lt;&gt;""),IF(F4*G4&lt;15,"Bajo",IF(F4*G4&lt;40,"Medio",IF(F4*G4&lt;70,"Alto","Critico"))),"")</f>
        <v/>
      </c>
      <c r="I4" s="3" t="inlineStr">
        <is>
          <t>Mediano plazo</t>
        </is>
      </c>
      <c r="J4" s="3" t="inlineStr">
        <is>
          <t>Data Team</t>
        </is>
      </c>
      <c r="K4" s="3" t="inlineStr">
        <is>
          <t>Evaluado</t>
        </is>
      </c>
      <c r="L4" s="3" t="inlineStr">
        <is>
          <t>Mitigar</t>
        </is>
      </c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" customHeight="1">
      <c r="A5" s="3" t="inlineStr">
        <is>
          <t>Fallo de integracion</t>
        </is>
      </c>
      <c r="B5" s="3" t="inlineStr">
        <is>
          <t>Modulos de Pagos</t>
        </is>
      </c>
      <c r="C5" s="3" t="inlineStr">
        <is>
          <t>Desconexion con pasarela</t>
        </is>
      </c>
      <c r="D5" s="3" t="inlineStr">
        <is>
          <t>API externa</t>
        </is>
      </c>
      <c r="E5" s="3" t="inlineStr">
        <is>
          <t>Rechazo de pagos</t>
        </is>
      </c>
      <c r="F5" s="5" t="n">
        <v>0.55</v>
      </c>
      <c r="G5" s="4" t="n">
        <v>70</v>
      </c>
      <c r="H5" s="3">
        <f>IF(AND(F5&lt;&gt;"",G5&lt;&gt;""),IF(F5*G5&lt;15,"Bajo",IF(F5*G5&lt;40,"Medio",IF(F5*G5&lt;70,"Alto","Critico"))),"")</f>
        <v/>
      </c>
      <c r="I5" s="3" t="inlineStr">
        <is>
          <t>Corto plazo</t>
        </is>
      </c>
      <c r="J5" s="3" t="inlineStr">
        <is>
          <t>Arquitectura</t>
        </is>
      </c>
      <c r="K5" s="3" t="inlineStr">
        <is>
          <t>En tratamiento</t>
        </is>
      </c>
      <c r="L5" s="3" t="inlineStr">
        <is>
          <t>Transferir</t>
        </is>
      </c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" customHeight="1">
      <c r="A6" s="3" t="inlineStr">
        <is>
          <t>Desfase logistico</t>
        </is>
      </c>
      <c r="B6" s="3" t="inlineStr">
        <is>
          <t>Flota operativa</t>
        </is>
      </c>
      <c r="C6" s="3" t="inlineStr">
        <is>
          <t>Retrasos en operacion</t>
        </is>
      </c>
      <c r="D6" s="3" t="inlineStr">
        <is>
          <t>Tercerizacion</t>
        </is>
      </c>
      <c r="E6" s="3" t="inlineStr">
        <is>
          <t>Afecta servicio</t>
        </is>
      </c>
      <c r="F6" s="5" t="n">
        <v>0.4</v>
      </c>
      <c r="G6" s="4" t="n">
        <v>55</v>
      </c>
      <c r="H6" s="3">
        <f>IF(AND(F6&lt;&gt;"",G6&lt;&gt;""),IF(F6*G6&lt;15,"Bajo",IF(F6*G6&lt;40,"Medio",IF(F6*G6&lt;70,"Alto","Critico"))),"")</f>
        <v/>
      </c>
      <c r="I6" s="3" t="inlineStr">
        <is>
          <t>Largo plazo</t>
        </is>
      </c>
      <c r="J6" s="3" t="inlineStr">
        <is>
          <t>Operaciones</t>
        </is>
      </c>
      <c r="K6" s="3" t="inlineStr">
        <is>
          <t>Identificado</t>
        </is>
      </c>
      <c r="L6" s="3" t="inlineStr">
        <is>
          <t>Aceptar</t>
        </is>
      </c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</sheetData>
  <mergeCells count="1">
    <mergeCell ref="A1:L1"/>
  </mergeCells>
  <conditionalFormatting sqref="H3:H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00"/>
  <sheetViews>
    <sheetView showGridLines="0" workbookViewId="0">
      <selection activeCell="C5" sqref="C5"/>
    </sheetView>
  </sheetViews>
  <sheetFormatPr baseColWidth="10" defaultColWidth="9" defaultRowHeight="14.25"/>
  <cols>
    <col width="18.625" bestFit="1" customWidth="1" min="1" max="1"/>
    <col width="20" bestFit="1" customWidth="1" min="2" max="2"/>
    <col width="12.75" customWidth="1" min="3" max="3"/>
    <col width="9.25" customWidth="1" min="4" max="4"/>
    <col width="7" customWidth="1" min="5" max="5"/>
  </cols>
  <sheetData>
    <row r="1" ht="18" customHeight="1">
      <c r="A1" s="7" t="inlineStr">
        <is>
          <t>Plantilla de importacion - Matriz de riesgo</t>
        </is>
      </c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" customHeight="1">
      <c r="A2" s="2" t="inlineStr">
        <is>
          <t>Riesgo</t>
        </is>
      </c>
      <c r="B2" s="2" t="inlineStr">
        <is>
          <t>Activo</t>
        </is>
      </c>
      <c r="C2" s="2" t="inlineStr">
        <is>
          <t>Probabilidad</t>
        </is>
      </c>
      <c r="D2" s="2" t="inlineStr">
        <is>
          <t>Impacto</t>
        </is>
      </c>
      <c r="E2" s="2" t="inlineStr">
        <is>
          <t>Nivel</t>
        </is>
      </c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" customHeight="1">
      <c r="A3" s="3" t="inlineStr">
        <is>
          <t>Caida por sobrecarga</t>
        </is>
      </c>
      <c r="B3" s="3" t="inlineStr">
        <is>
          <t>Servidor de produccion</t>
        </is>
      </c>
      <c r="C3" s="5" t="n">
        <v>0.7</v>
      </c>
      <c r="D3" s="4" t="n">
        <v>90</v>
      </c>
      <c r="E3" s="3">
        <f>IF(AND(C3&lt;&gt;"",D3&lt;&gt;""),IF(C3*D3&lt;15,"Bajo",IF(C3*D3&lt;40,"Medio",IF(C3*D3&lt;70,"Alto","Critico"))),"")</f>
        <v/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" customHeight="1">
      <c r="A4" s="3" t="inlineStr">
        <is>
          <t>Corrupcion de datos</t>
        </is>
      </c>
      <c r="B4" s="3" t="inlineStr">
        <is>
          <t>Base de datos principal</t>
        </is>
      </c>
      <c r="C4" s="5" t="n">
        <v>0.35</v>
      </c>
      <c r="D4" s="4" t="n">
        <v>80</v>
      </c>
      <c r="E4" s="3">
        <f>IF(AND(C4&lt;&gt;"",D4&lt;&gt;""),IF(C4*D4&lt;15,"Bajo",IF(C4*D4&lt;40,"Medio",IF(C4*D4&lt;70,"Alto","Critico"))),"")</f>
        <v/>
      </c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" customHeight="1">
      <c r="A5" s="3" t="inlineStr">
        <is>
          <t>Fallo de integracion</t>
        </is>
      </c>
      <c r="B5" s="3" t="inlineStr">
        <is>
          <t>Modulos de Pagos</t>
        </is>
      </c>
      <c r="C5" s="5" t="n">
        <v>0.55</v>
      </c>
      <c r="D5" s="4" t="n">
        <v>70</v>
      </c>
      <c r="E5" s="3">
        <f>IF(AND(C5&lt;&gt;"",D5&lt;&gt;""),IF(C5*D5&lt;15,"Bajo",IF(C5*D5&lt;40,"Medio",IF(C5*D5&lt;70,"Alto","Critico"))),"")</f>
        <v/>
      </c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" customHeight="1">
      <c r="A6" s="3" t="inlineStr">
        <is>
          <t>Desfase logistico</t>
        </is>
      </c>
      <c r="B6" s="3" t="inlineStr">
        <is>
          <t>Flota operativa</t>
        </is>
      </c>
      <c r="C6" s="5" t="n">
        <v>0.4</v>
      </c>
      <c r="D6" s="4" t="n">
        <v>55</v>
      </c>
      <c r="E6" s="3">
        <f>IF(AND(C6&lt;&gt;"",D6&lt;&gt;""),IF(C6*D6&lt;15,"Bajo",IF(C6*D6&lt;40,"Medio",IF(C6*D6&lt;70,"Alto","Critico"))),"")</f>
        <v/>
      </c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</sheetData>
  <mergeCells count="1"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00"/>
  <sheetViews>
    <sheetView showGridLines="0" workbookViewId="0">
      <selection activeCell="C13" sqref="C13"/>
    </sheetView>
  </sheetViews>
  <sheetFormatPr baseColWidth="10" defaultColWidth="9" defaultRowHeight="14.25"/>
  <cols>
    <col width="17.625" bestFit="1" customWidth="1" min="1" max="1"/>
    <col width="27.625" bestFit="1" customWidth="1" min="2" max="2"/>
    <col width="19.25" customWidth="1" min="3" max="3"/>
    <col width="12.625" customWidth="1" min="4" max="4"/>
    <col width="10.125" bestFit="1" customWidth="1" min="5" max="6"/>
    <col width="15.375" customWidth="1" min="7" max="7"/>
    <col width="8.75" customWidth="1" min="8" max="8"/>
    <col width="10.25" customWidth="1" min="9" max="9"/>
    <col width="10.625" customWidth="1" min="10" max="10"/>
  </cols>
  <sheetData>
    <row r="1" ht="18" customHeight="1">
      <c r="A1" s="7" t="inlineStr">
        <is>
          <t>Plantilla de importacion - Mitigacion</t>
        </is>
      </c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" customHeight="1">
      <c r="A2" s="2" t="inlineStr">
        <is>
          <t>Riesgo</t>
        </is>
      </c>
      <c r="B2" s="2" t="inlineStr">
        <is>
          <t>Accion preventiva</t>
        </is>
      </c>
      <c r="C2" s="2" t="inlineStr">
        <is>
          <t>Accion correctiva</t>
        </is>
      </c>
      <c r="D2" s="2" t="inlineStr">
        <is>
          <t>Responsable</t>
        </is>
      </c>
      <c r="E2" s="2" t="inlineStr">
        <is>
          <t>Inicio</t>
        </is>
      </c>
      <c r="F2" s="2" t="inlineStr">
        <is>
          <t>Fin</t>
        </is>
      </c>
      <c r="G2" s="2" t="inlineStr">
        <is>
          <t>Recursos</t>
        </is>
      </c>
      <c r="H2" s="2" t="inlineStr">
        <is>
          <t>Estado</t>
        </is>
      </c>
      <c r="I2" s="2" t="inlineStr">
        <is>
          <t>Evidencia</t>
        </is>
      </c>
      <c r="J2" s="2" t="inlineStr">
        <is>
          <t>Estrategia</t>
        </is>
      </c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" customHeight="1">
      <c r="A3" s="3" t="inlineStr">
        <is>
          <t>Caida de API</t>
        </is>
      </c>
      <c r="B3" s="3" t="inlineStr">
        <is>
          <t>Escalar a proveedor secundario</t>
        </is>
      </c>
      <c r="C3" s="3" t="inlineStr">
        <is>
          <t>Reconfigurar balanceo</t>
        </is>
      </c>
      <c r="D3" s="3" t="inlineStr">
        <is>
          <t>Arquitectura</t>
        </is>
      </c>
      <c r="E3" s="6" t="n">
        <v>46204</v>
      </c>
      <c r="F3" s="6" t="n">
        <v>46213</v>
      </c>
      <c r="G3" s="3" t="inlineStr">
        <is>
          <t>Infraestructura</t>
        </is>
      </c>
      <c r="H3" s="3" t="inlineStr">
        <is>
          <t>En proceso</t>
        </is>
      </c>
      <c r="I3" s="3" t="inlineStr">
        <is>
          <t>Pendiente</t>
        </is>
      </c>
      <c r="J3" s="3" t="inlineStr">
        <is>
          <t>Mitigar</t>
        </is>
      </c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" customHeight="1">
      <c r="A4" s="3" t="inlineStr">
        <is>
          <t>Retraso de entregas</t>
        </is>
      </c>
      <c r="B4" s="3" t="inlineStr">
        <is>
          <t>Replanificar hitos criticos</t>
        </is>
      </c>
      <c r="C4" s="3" t="inlineStr">
        <is>
          <t>Ajustar cronograma</t>
        </is>
      </c>
      <c r="D4" s="3" t="inlineStr">
        <is>
          <t>PMO</t>
        </is>
      </c>
      <c r="E4" s="6" t="n">
        <v>46205</v>
      </c>
      <c r="F4" s="6" t="n">
        <v>46217</v>
      </c>
      <c r="G4" s="3" t="inlineStr">
        <is>
          <t>Equipo proyecto</t>
        </is>
      </c>
      <c r="H4" s="3" t="inlineStr">
        <is>
          <t>En proceso</t>
        </is>
      </c>
      <c r="I4" s="3" t="inlineStr">
        <is>
          <t>Pendiente</t>
        </is>
      </c>
      <c r="J4" s="3" t="inlineStr">
        <is>
          <t>Mitigar</t>
        </is>
      </c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" customHeight="1">
      <c r="A5" s="3" t="inlineStr">
        <is>
          <t>Fuga de informacion</t>
        </is>
      </c>
      <c r="B5" s="3" t="inlineStr">
        <is>
          <t>Reforzar permisos y trazabilidad</t>
        </is>
      </c>
      <c r="C5" s="3" t="inlineStr">
        <is>
          <t>Auditoria de accesos</t>
        </is>
      </c>
      <c r="D5" s="3" t="inlineStr">
        <is>
          <t>Seguridad</t>
        </is>
      </c>
      <c r="E5" s="6" t="n">
        <v>46206</v>
      </c>
      <c r="F5" s="6" t="n">
        <v>46221</v>
      </c>
      <c r="G5" s="3" t="inlineStr">
        <is>
          <t>Seguridad y soporte</t>
        </is>
      </c>
      <c r="H5" s="3" t="inlineStr">
        <is>
          <t>Planificado</t>
        </is>
      </c>
      <c r="I5" s="3" t="inlineStr">
        <is>
          <t>Pendiente</t>
        </is>
      </c>
      <c r="J5" s="3" t="inlineStr">
        <is>
          <t>Aceptar</t>
        </is>
      </c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" customHeight="1">
      <c r="A6" s="3" t="inlineStr">
        <is>
          <t>Desfase logistico</t>
        </is>
      </c>
      <c r="B6" s="3" t="inlineStr">
        <is>
          <t>Monitoreo operativo</t>
        </is>
      </c>
      <c r="C6" s="3" t="inlineStr">
        <is>
          <t>Reasignacion de recursos</t>
        </is>
      </c>
      <c r="D6" s="3" t="inlineStr">
        <is>
          <t>Operaciones</t>
        </is>
      </c>
      <c r="E6" s="6" t="n">
        <v>46207</v>
      </c>
      <c r="F6" s="6" t="n">
        <v>46223</v>
      </c>
      <c r="G6" s="3" t="inlineStr">
        <is>
          <t>Operaciones</t>
        </is>
      </c>
      <c r="H6" s="3" t="inlineStr">
        <is>
          <t>En proceso</t>
        </is>
      </c>
      <c r="I6" s="3" t="inlineStr">
        <is>
          <t>Pendiente</t>
        </is>
      </c>
      <c r="J6" s="3" t="inlineStr">
        <is>
          <t>Aceptar</t>
        </is>
      </c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</sheetData>
  <mergeCells count="1">
    <mergeCell ref="A1:J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2026-07-08T23:05:36Z</dcterms:created>
  <dcterms:modified xsi:type="dcterms:W3CDTF">2026-07-08T23:05:36Z</dcterms:modified>
  <cp:lastModifiedBy>Jeancarlos Chafloque Velasquez</cp:lastModifiedBy>
</cp:coreProperties>
</file>